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<sst xmlns="http://schemas.openxmlformats.org/spreadsheetml/2006/main" count="129" uniqueCount="48">
  <si>
    <t>Task</t>
  </si>
  <si>
    <t>Status</t>
  </si>
  <si>
    <t>Kyle approval</t>
  </si>
  <si>
    <t>Milestone</t>
  </si>
  <si>
    <t>Task Type</t>
  </si>
  <si>
    <r>
      <rPr>
        <rFont val="Arial"/>
        <b/>
        <color theme="1"/>
      </rPr>
      <t xml:space="preserve">Spreadsheet </t>
    </r>
    <r>
      <rPr>
        <rFont val="Arial"/>
        <color theme="1"/>
      </rPr>
      <t xml:space="preserve">tracking completion of features/requirements with </t>
    </r>
    <r>
      <rPr>
        <rFont val="Arial"/>
        <b/>
        <color theme="1"/>
      </rPr>
      <t>automatic score calculation.</t>
    </r>
  </si>
  <si>
    <t>Completed</t>
  </si>
  <si>
    <t>Milestone 1</t>
  </si>
  <si>
    <t>Basic</t>
  </si>
  <si>
    <t>TOTAL MARKS</t>
  </si>
  <si>
    <t>My marks</t>
  </si>
  <si>
    <t>Kyle marks</t>
  </si>
  <si>
    <r>
      <rPr>
        <rFont val="Arial"/>
        <b/>
        <color theme="1"/>
      </rPr>
      <t>Two self-imposed milestone</t>
    </r>
    <r>
      <rPr>
        <rFont val="Arial"/>
        <color theme="1"/>
      </rPr>
      <t xml:space="preserve"> Wednesdays with mapped features for each demonstration session.</t>
    </r>
  </si>
  <si>
    <r>
      <rPr>
        <rFont val="Arial"/>
        <b/>
        <color theme="1"/>
      </rPr>
      <t>Mermaid Diagram</t>
    </r>
    <r>
      <rPr>
        <rFont val="Arial"/>
        <color theme="1"/>
      </rPr>
      <t xml:space="preserve"> showing the functional layout of the planned codebase.</t>
    </r>
  </si>
  <si>
    <t>Intermediate</t>
  </si>
  <si>
    <r>
      <rPr>
        <rFont val="Arial"/>
        <b/>
        <color theme="1"/>
      </rPr>
      <t xml:space="preserve">Coolant system </t>
    </r>
    <r>
      <rPr>
        <rFont val="Arial"/>
        <color theme="1"/>
      </rPr>
      <t>with flow rate variable and pump speed slider control (0–100%).</t>
    </r>
  </si>
  <si>
    <t>Advanced</t>
  </si>
  <si>
    <r>
      <rPr>
        <rFont val="Arial"/>
        <b/>
        <color theme="1"/>
      </rPr>
      <t>Control rod</t>
    </r>
    <r>
      <rPr>
        <rFont val="Arial"/>
        <color theme="1"/>
      </rPr>
      <t xml:space="preserve"> position slider (0–100%) that directly affects heat</t>
    </r>
  </si>
  <si>
    <t>Total</t>
  </si>
  <si>
    <r>
      <rPr>
        <rFont val="Arial"/>
        <b/>
        <color theme="1"/>
      </rPr>
      <t>Reactor core temperature display</t>
    </r>
    <r>
      <rPr>
        <rFont val="Arial"/>
        <color theme="1"/>
      </rPr>
      <t xml:space="preserve"> in Celsius (with basic indications of safe operating threshold).</t>
    </r>
  </si>
  <si>
    <t>MAX</t>
  </si>
  <si>
    <r>
      <rPr>
        <rFont val="Arial"/>
        <b/>
        <color theme="1"/>
      </rPr>
      <t>Turbine RPM display</t>
    </r>
    <r>
      <rPr>
        <rFont val="Arial"/>
        <color theme="1"/>
      </rPr>
      <t xml:space="preserve"> (0-3000 RPM)</t>
    </r>
  </si>
  <si>
    <r>
      <rPr>
        <rFont val="Arial"/>
        <color theme="1"/>
      </rPr>
      <t xml:space="preserve">Generator electrical </t>
    </r>
    <r>
      <rPr>
        <rFont val="Arial"/>
        <b/>
        <color theme="1"/>
      </rPr>
      <t>power output 8 segment display</t>
    </r>
    <r>
      <rPr>
        <rFont val="Arial"/>
        <color theme="1"/>
      </rPr>
      <t xml:space="preserve"> showing megawatts electrical (max 1000MWe) produced </t>
    </r>
  </si>
  <si>
    <r>
      <rPr>
        <rFont val="Arial"/>
        <b/>
        <color theme="1"/>
      </rPr>
      <t>Basic loss condition:</t>
    </r>
    <r>
      <rPr>
        <rFont val="Arial"/>
        <color theme="1"/>
      </rPr>
      <t xml:space="preserve"> Reactor meltdown occurs when core temperature exceeds 800°C or Reactor explodes if pressure hits 20 MPa</t>
    </r>
  </si>
  <si>
    <r>
      <rPr>
        <rFont val="Arial"/>
        <b/>
        <color theme="1"/>
      </rPr>
      <t>Score system:</t>
    </r>
    <r>
      <rPr>
        <rFont val="Arial"/>
        <color theme="1"/>
      </rPr>
      <t xml:space="preserve"> Score increases when within (0-100MWe) to the target power ouput, increase scales with accuracy</t>
    </r>
  </si>
  <si>
    <t>In progress</t>
  </si>
  <si>
    <r>
      <rPr>
        <rFont val="Arial"/>
        <b/>
        <color theme="1"/>
      </rPr>
      <t xml:space="preserve">SCRAM button </t>
    </r>
    <r>
      <rPr>
        <rFont val="Arial"/>
        <b val="0"/>
        <color theme="1"/>
      </rPr>
      <t>shuts off reactor by setting control rods to 100% insertion (ends game to avoid catastrophy)</t>
    </r>
  </si>
  <si>
    <t>Not started</t>
  </si>
  <si>
    <r>
      <rPr>
        <rFont val="Arial"/>
        <b/>
        <color theme="1"/>
      </rPr>
      <t xml:space="preserve"> Reset button </t>
    </r>
    <r>
      <rPr>
        <rFont val="Arial"/>
        <color theme="1"/>
      </rPr>
      <t>that restarts simulation</t>
    </r>
  </si>
  <si>
    <r>
      <rPr>
        <rFont val="Arial"/>
        <color theme="1"/>
      </rPr>
      <t xml:space="preserve">Display current </t>
    </r>
    <r>
      <rPr>
        <rFont val="Arial"/>
        <b/>
        <color theme="1"/>
      </rPr>
      <t>reactor pressure</t>
    </r>
  </si>
  <si>
    <t>Milestone 2</t>
  </si>
  <si>
    <r>
      <rPr>
        <rFont val="Arial"/>
        <b/>
        <color theme="1"/>
      </rPr>
      <t>Game timer</t>
    </r>
    <r>
      <rPr>
        <rFont val="Arial"/>
        <color theme="1"/>
      </rPr>
      <t xml:space="preserve"> displayed as MM:SS format that starts when reactor power exceeds 100 MW and stops on win/loss conditions.</t>
    </r>
  </si>
  <si>
    <r>
      <rPr>
        <rFont val="Arial"/>
        <color theme="1"/>
      </rPr>
      <t xml:space="preserve">Use of a stylized </t>
    </r>
    <r>
      <rPr>
        <rFont val="Arial"/>
        <b/>
        <color theme="1"/>
      </rPr>
      <t xml:space="preserve">8 segment </t>
    </r>
    <r>
      <rPr>
        <rFont val="Arial"/>
        <color theme="1"/>
      </rPr>
      <t>display for output</t>
    </r>
  </si>
  <si>
    <r>
      <rPr>
        <rFont val="Arial"/>
        <b/>
        <color theme="1"/>
      </rPr>
      <t>Post-game statistics screen</t>
    </r>
    <r>
      <rPr>
        <rFont val="Arial"/>
        <color theme="1"/>
      </rPr>
      <t xml:space="preserve"> showing detailed (Choose some of the following) session breakdown: total time, revenue earned, highest temperature reached, average power output</t>
    </r>
  </si>
  <si>
    <t>Final Due Date</t>
  </si>
  <si>
    <r>
      <rPr>
        <rFont val="Arial"/>
        <b/>
        <color theme="1"/>
      </rPr>
      <t>Sound effects</t>
    </r>
    <r>
      <rPr>
        <rFont val="Arial"/>
        <color theme="1"/>
      </rPr>
      <t xml:space="preserve"> package including: control interaction clicks, continuous reactor hum (pitch varies with power), alarm beeps (slow for yellow warning, rapid for red danger), SCRAM button clunk, grid demand change chime, and event notification sound.</t>
    </r>
  </si>
  <si>
    <r>
      <rPr>
        <rFont val="Arial"/>
        <color theme="1"/>
      </rPr>
      <t xml:space="preserve">Change all displays to use </t>
    </r>
    <r>
      <rPr>
        <rFont val="Arial"/>
        <b/>
        <color theme="1"/>
      </rPr>
      <t>Analog-style gauge</t>
    </r>
    <r>
      <rPr>
        <rFont val="Arial"/>
        <color theme="1"/>
      </rPr>
      <t xml:space="preserve"> or dial style displays, this includes making a display class</t>
    </r>
  </si>
  <si>
    <r>
      <rPr>
        <rFont val="Arial"/>
        <b/>
        <color theme="1"/>
      </rPr>
      <t xml:space="preserve">Instrument abstract class </t>
    </r>
    <r>
      <rPr>
        <rFont val="Arial"/>
        <color theme="1"/>
      </rPr>
      <t>which has basic functionality of UI elements that are interactable or display only</t>
    </r>
  </si>
  <si>
    <t>Scene Management + Intro sequence</t>
  </si>
  <si>
    <r>
      <rPr>
        <rFont val="Arial"/>
        <b/>
        <color theme="1"/>
      </rPr>
      <t>Revenue Tracking</t>
    </r>
    <r>
      <rPr>
        <rFont val="Arial"/>
        <color theme="1"/>
      </rPr>
      <t xml:space="preserve"> (power output relative to grid demand)</t>
    </r>
  </si>
  <si>
    <r>
      <rPr>
        <rFont val="Arial"/>
        <b/>
        <color theme="1"/>
      </rPr>
      <t>Heat Transfer modelling</t>
    </r>
    <r>
      <rPr>
        <rFont val="Arial"/>
        <color theme="1"/>
      </rPr>
      <t xml:space="preserve"> via flow rate and temp difference</t>
    </r>
  </si>
  <si>
    <r>
      <rPr>
        <rFont val="Arial"/>
        <b/>
        <color theme="1"/>
      </rPr>
      <t xml:space="preserve">Pressure modelling </t>
    </r>
    <r>
      <rPr>
        <rFont val="Arial"/>
        <color theme="1"/>
      </rPr>
      <t>via reactor temp and control rod position</t>
    </r>
  </si>
  <si>
    <r>
      <rPr>
        <rFont val="Arial"/>
        <b/>
        <color theme="1"/>
      </rPr>
      <t xml:space="preserve">Pressure release valve </t>
    </r>
    <r>
      <rPr>
        <rFont val="Arial"/>
        <color theme="1"/>
      </rPr>
      <t>when held rapidly reduces pressure, but wastes coolant</t>
    </r>
  </si>
  <si>
    <r>
      <rPr>
        <rFont val="Arial"/>
        <b/>
        <color theme="1"/>
      </rPr>
      <t>Responsiveness</t>
    </r>
    <r>
      <rPr>
        <rFont val="Arial"/>
        <color theme="1"/>
      </rPr>
      <t xml:space="preserve"> for web builds</t>
    </r>
  </si>
  <si>
    <r>
      <rPr>
        <rFont val="Arial"/>
        <b/>
        <color theme="1"/>
      </rPr>
      <t>ReactorManager</t>
    </r>
    <r>
      <rPr>
        <rFont val="Arial"/>
        <color theme="1"/>
      </rPr>
      <t xml:space="preserve"> passes data around the classes it manages</t>
    </r>
  </si>
  <si>
    <r>
      <rPr>
        <rFont val="Arial"/>
        <color theme="1"/>
      </rPr>
      <t xml:space="preserve">Arcitecture Planning and placeholder </t>
    </r>
    <r>
      <rPr>
        <rFont val="Arial"/>
        <b/>
        <color theme="1"/>
      </rPr>
      <t>implementation of the reactor itself</t>
    </r>
  </si>
  <si>
    <r>
      <rPr>
        <rFont val="Arial"/>
        <color theme="1"/>
      </rPr>
      <t xml:space="preserve">Arcitecture planning and </t>
    </r>
    <r>
      <rPr>
        <rFont val="Arial"/>
        <b/>
        <color theme="1"/>
      </rPr>
      <t>placeholder classes for game managers</t>
    </r>
  </si>
  <si>
    <r>
      <rPr>
        <rFont val="Arial"/>
        <color theme="1"/>
      </rPr>
      <t xml:space="preserve">Arcitecture planning and </t>
    </r>
    <r>
      <rPr>
        <rFont val="Arial"/>
        <b/>
        <color theme="1"/>
      </rPr>
      <t>placeholder classes for the displays/buttons</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</si>
</sst>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5.0"/>
      <color theme="1"/>
      <name val="Arial"/>
      <scheme val="minor"/>
    </font>
    <font>
      <b/>
      <u/>
      <sz val="15.0"/>
      <color theme="1"/>
      <name val="Arial"/>
      <scheme val="minor"/>
    </font>
    <font>
      <b/>
      <sz val="20.0"/>
      <color theme="1"/>
      <name val="Arial"/>
      <scheme val="minor"/>
    </font>
    <font>
      <b/>
      <sz val="18.0"/>
      <color theme="1"/>
      <name val="Arial"/>
      <scheme val="minor"/>
    </font>
    <font>
      <b/>
      <sz val="16.0"/>
      <color theme="1"/>
      <name val="Arial"/>
      <scheme val="minor"/>
    </font>
    <font>
      <b/>
      <color theme="1"/>
      <name val="Arial"/>
      <scheme val="minor"/>
    </font>
  </fonts>
  <fills count="5">
    <fill>
      <patternFill patternType="none"/>
    </fill>
    <fill>
      <patternFill patternType="lightGray"/>
    </fill>
    <fill>
      <patternFill patternType="solid">
        <fgColor rgb="FF6AA84F"/>
        <bgColor rgb="FF6AA84F"/>
      </patternFill>
    </fill>
    <fill>
      <patternFill patternType="solid">
        <fgColor rgb="FF6FA8DC"/>
        <bgColor rgb="FF6FA8DC"/>
      </patternFill>
    </fill>
    <fill>
      <patternFill patternType="solid">
        <fgColor rgb="FFE06666"/>
        <bgColor rgb="FFE06666"/>
      </patternFill>
    </fill>
  </fills>
  <borders count="3">
    <border/>
    <border>
      <top style="thick">
        <color rgb="FF000000"/>
      </top>
    </border>
    <border>
      <top style="thin">
        <color rgb="FF000000"/>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readingOrder="0"/>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xf>
    <xf borderId="0" fillId="2" fontId="4" numFmtId="0" xfId="0" applyAlignment="1" applyFill="1" applyFont="1">
      <alignment horizontal="center" readingOrder="0" vertical="center"/>
    </xf>
    <xf borderId="0" fillId="0" fontId="2" numFmtId="0" xfId="0" applyAlignment="1" applyFont="1">
      <alignment horizontal="center" readingOrder="0"/>
    </xf>
    <xf borderId="0" fillId="3" fontId="4" numFmtId="0" xfId="0" applyAlignment="1" applyFill="1" applyFont="1">
      <alignment horizontal="center" readingOrder="0"/>
    </xf>
    <xf borderId="0" fillId="4" fontId="4" numFmtId="0" xfId="0" applyAlignment="1" applyFill="1" applyFont="1">
      <alignment horizontal="center" readingOrder="0" vertical="center"/>
    </xf>
    <xf borderId="1" fillId="0" fontId="5" numFmtId="0" xfId="0" applyAlignment="1" applyBorder="1" applyFont="1">
      <alignment horizontal="center" readingOrder="0" vertical="center"/>
    </xf>
    <xf borderId="1" fillId="0" fontId="2" numFmtId="0" xfId="0" applyAlignment="1" applyBorder="1" applyFont="1">
      <alignment horizontal="center" vertical="center"/>
    </xf>
    <xf borderId="2" fillId="0" fontId="6" numFmtId="0" xfId="0" applyAlignment="1" applyBorder="1" applyFont="1">
      <alignment horizontal="center" readingOrder="0" vertical="center"/>
    </xf>
    <xf borderId="2" fillId="0" fontId="5" numFmtId="0" xfId="0" applyAlignment="1" applyBorder="1" applyFont="1">
      <alignment horizontal="center" readingOrder="0" vertical="center"/>
    </xf>
    <xf borderId="2" fillId="0" fontId="2" numFmtId="0" xfId="0" applyAlignment="1" applyBorder="1" applyFont="1">
      <alignment horizontal="center" readingOrder="0" vertical="center"/>
    </xf>
    <xf borderId="0" fillId="0" fontId="7" numFmtId="49"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30" displayName="Project_tasks" name="Project_tasks" id="1">
  <tableColumns count="5">
    <tableColumn name="Task" id="1"/>
    <tableColumn name="Status" id="2"/>
    <tableColumn name="Kyle approval" id="3"/>
    <tableColumn name="Milestone" id="4"/>
    <tableColumn name="Task Type"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75"/>
    <col customWidth="1" min="2" max="2" width="15.13"/>
    <col customWidth="1" min="3" max="3" width="14.25"/>
    <col customWidth="1" min="4" max="4" width="16.0"/>
    <col customWidth="1" min="5" max="5" width="15.13"/>
    <col customWidth="1" min="6" max="6" width="20.13"/>
    <col customWidth="1" min="7" max="7" width="20.63"/>
    <col customWidth="1" min="8" max="8" width="20.13"/>
    <col customWidth="1" min="9" max="9" width="16.88"/>
    <col customWidth="1" min="10" max="10" width="15.13"/>
  </cols>
  <sheetData>
    <row r="1" ht="22.5" customHeight="1">
      <c r="A1" s="1" t="s">
        <v>0</v>
      </c>
      <c r="B1" s="1" t="s">
        <v>1</v>
      </c>
      <c r="C1" s="2" t="s">
        <v>2</v>
      </c>
      <c r="D1" s="1" t="s">
        <v>3</v>
      </c>
      <c r="E1" s="3" t="s">
        <v>4</v>
      </c>
      <c r="G1" s="4"/>
    </row>
    <row r="2" ht="22.5" customHeight="1">
      <c r="A2" s="5" t="s">
        <v>5</v>
      </c>
      <c r="B2" s="6" t="s">
        <v>6</v>
      </c>
      <c r="C2" s="7" t="b">
        <v>1</v>
      </c>
      <c r="D2" s="6" t="s">
        <v>7</v>
      </c>
      <c r="E2" s="6" t="s">
        <v>8</v>
      </c>
      <c r="G2" s="8" t="s">
        <v>9</v>
      </c>
      <c r="H2" s="8" t="s">
        <v>10</v>
      </c>
      <c r="I2" s="8" t="s">
        <v>11</v>
      </c>
    </row>
    <row r="3" ht="22.5" customHeight="1">
      <c r="A3" s="5" t="s">
        <v>12</v>
      </c>
      <c r="B3" s="6" t="s">
        <v>6</v>
      </c>
      <c r="C3" s="7" t="b">
        <v>1</v>
      </c>
      <c r="D3" s="6" t="s">
        <v>7</v>
      </c>
      <c r="E3" s="6" t="s">
        <v>8</v>
      </c>
      <c r="F3" s="9" t="s">
        <v>8</v>
      </c>
      <c r="G3" s="10">
        <f>COUNTIF(E:E, "Basic")</f>
        <v>13</v>
      </c>
      <c r="H3" s="10">
        <f>COUNTIFS(E:E, "Basic", B:B, "Completed")</f>
        <v>10</v>
      </c>
      <c r="I3" s="10">
        <f>COUNTIFS(E:E, "Basic", B:B, "Completed", C:C, true)</f>
        <v>10</v>
      </c>
    </row>
    <row r="4" ht="22.5" customHeight="1">
      <c r="A4" s="5" t="s">
        <v>13</v>
      </c>
      <c r="B4" s="6" t="s">
        <v>6</v>
      </c>
      <c r="C4" s="7" t="b">
        <v>1</v>
      </c>
      <c r="D4" s="6" t="s">
        <v>7</v>
      </c>
      <c r="E4" s="6" t="s">
        <v>8</v>
      </c>
      <c r="F4" s="11" t="s">
        <v>14</v>
      </c>
      <c r="G4" s="10">
        <f>COUNTIF(E:E, "Intermediate") * 2</f>
        <v>22</v>
      </c>
      <c r="H4" s="10">
        <f>COUNTIFS(E:E, "Intermediate", B:B, "Completed")*2</f>
        <v>18</v>
      </c>
      <c r="I4" s="10">
        <f>COUNTIFS(E:E, "Intermediate", B:B, "Completed", C:C, true)*2</f>
        <v>18</v>
      </c>
    </row>
    <row r="5" ht="22.5" customHeight="1">
      <c r="A5" s="5" t="s">
        <v>15</v>
      </c>
      <c r="B5" s="6" t="s">
        <v>6</v>
      </c>
      <c r="C5" s="7" t="b">
        <v>1</v>
      </c>
      <c r="D5" s="6" t="s">
        <v>7</v>
      </c>
      <c r="E5" s="6" t="s">
        <v>8</v>
      </c>
      <c r="F5" s="12" t="s">
        <v>16</v>
      </c>
      <c r="G5" s="10">
        <f>COUNTIF(E:E, "Advanced") * 3</f>
        <v>15</v>
      </c>
      <c r="H5" s="10">
        <f>COUNTIFS(E:E, "Advanced", B:B, "Completed")*3</f>
        <v>12</v>
      </c>
      <c r="I5" s="10">
        <f>COUNTIFS(E:E, "Advanced", B:B, "Completed", C:C, true)*3</f>
        <v>12</v>
      </c>
    </row>
    <row r="6" ht="22.5" customHeight="1">
      <c r="A6" s="5" t="s">
        <v>17</v>
      </c>
      <c r="B6" s="6" t="s">
        <v>6</v>
      </c>
      <c r="C6" s="7" t="b">
        <v>1</v>
      </c>
      <c r="D6" s="6" t="s">
        <v>7</v>
      </c>
      <c r="E6" s="6" t="s">
        <v>8</v>
      </c>
      <c r="F6" s="13" t="s">
        <v>18</v>
      </c>
      <c r="G6" s="14">
        <f t="array" ref="G6">SUM(SWITCH(E:E, "Basic", 1, "Intermediate", 2, "Advanced", 3, 0))</f>
        <v>50</v>
      </c>
      <c r="H6" s="14">
        <f t="shared" ref="H6:I6" si="1">sum(H3:H5)</f>
        <v>40</v>
      </c>
      <c r="I6" s="14">
        <f t="shared" si="1"/>
        <v>40</v>
      </c>
    </row>
    <row r="7" ht="22.5" customHeight="1">
      <c r="A7" s="5" t="s">
        <v>19</v>
      </c>
      <c r="B7" s="6" t="s">
        <v>6</v>
      </c>
      <c r="C7" s="7" t="b">
        <v>1</v>
      </c>
      <c r="D7" s="6" t="s">
        <v>7</v>
      </c>
      <c r="E7" s="6" t="s">
        <v>8</v>
      </c>
      <c r="F7" s="15" t="s">
        <v>20</v>
      </c>
      <c r="G7" s="16"/>
      <c r="H7" s="17">
        <f t="array" ref="H7">SUM(SWITCH(E:E, "Basic", 1, "Intermediate", 2, "Advanced", 3, 0))</f>
        <v>50</v>
      </c>
      <c r="I7" s="17">
        <f t="array" ref="I7">SUM(SWITCH(E:E, "Basic", 1, "Intermediate", 2, "Advanced", 3, 0))</f>
        <v>50</v>
      </c>
    </row>
    <row r="8" ht="22.5" customHeight="1">
      <c r="A8" s="5" t="s">
        <v>21</v>
      </c>
      <c r="B8" s="6" t="s">
        <v>6</v>
      </c>
      <c r="C8" s="7" t="b">
        <v>1</v>
      </c>
      <c r="D8" s="6" t="s">
        <v>7</v>
      </c>
      <c r="E8" s="6" t="s">
        <v>8</v>
      </c>
    </row>
    <row r="9" ht="22.5" customHeight="1">
      <c r="A9" s="5" t="s">
        <v>22</v>
      </c>
      <c r="B9" s="6" t="s">
        <v>6</v>
      </c>
      <c r="C9" s="7" t="b">
        <v>1</v>
      </c>
      <c r="D9" s="6" t="s">
        <v>7</v>
      </c>
      <c r="E9" s="6" t="s">
        <v>8</v>
      </c>
    </row>
    <row r="10" ht="22.5" customHeight="1">
      <c r="A10" s="5" t="s">
        <v>23</v>
      </c>
      <c r="B10" s="6" t="s">
        <v>6</v>
      </c>
      <c r="C10" s="7" t="b">
        <v>1</v>
      </c>
      <c r="D10" s="6" t="s">
        <v>7</v>
      </c>
      <c r="E10" s="6" t="s">
        <v>14</v>
      </c>
    </row>
    <row r="11" ht="22.5" customHeight="1">
      <c r="A11" s="5" t="s">
        <v>24</v>
      </c>
      <c r="B11" s="6" t="s">
        <v>25</v>
      </c>
      <c r="C11" s="7" t="b">
        <v>0</v>
      </c>
      <c r="D11" s="6" t="s">
        <v>7</v>
      </c>
      <c r="E11" s="6" t="s">
        <v>8</v>
      </c>
    </row>
    <row r="12" ht="22.5" customHeight="1">
      <c r="A12" s="18" t="s">
        <v>26</v>
      </c>
      <c r="B12" s="6" t="s">
        <v>27</v>
      </c>
      <c r="C12" s="7" t="b">
        <v>0</v>
      </c>
      <c r="D12" s="6" t="s">
        <v>7</v>
      </c>
      <c r="E12" s="6" t="s">
        <v>8</v>
      </c>
    </row>
    <row r="13" ht="22.5" customHeight="1">
      <c r="A13" s="5" t="s">
        <v>28</v>
      </c>
      <c r="B13" s="6" t="s">
        <v>27</v>
      </c>
      <c r="C13" s="7" t="b">
        <v>0</v>
      </c>
      <c r="D13" s="6" t="s">
        <v>7</v>
      </c>
      <c r="E13" s="6" t="s">
        <v>8</v>
      </c>
    </row>
    <row r="14" ht="22.5" customHeight="1">
      <c r="A14" s="5" t="s">
        <v>29</v>
      </c>
      <c r="B14" s="6" t="s">
        <v>6</v>
      </c>
      <c r="C14" s="7" t="b">
        <v>1</v>
      </c>
      <c r="D14" s="6" t="s">
        <v>30</v>
      </c>
      <c r="E14" s="6" t="s">
        <v>8</v>
      </c>
    </row>
    <row r="15" ht="22.5" customHeight="1">
      <c r="A15" s="5" t="s">
        <v>31</v>
      </c>
      <c r="B15" s="6" t="s">
        <v>6</v>
      </c>
      <c r="C15" s="7" t="b">
        <v>1</v>
      </c>
      <c r="D15" s="6" t="s">
        <v>7</v>
      </c>
      <c r="E15" s="6" t="s">
        <v>8</v>
      </c>
    </row>
    <row r="16" ht="22.5" customHeight="1">
      <c r="A16" s="5" t="s">
        <v>32</v>
      </c>
      <c r="B16" s="6" t="s">
        <v>6</v>
      </c>
      <c r="C16" s="7" t="b">
        <v>1</v>
      </c>
      <c r="D16" s="6" t="s">
        <v>30</v>
      </c>
      <c r="E16" s="6" t="s">
        <v>14</v>
      </c>
    </row>
    <row r="17" ht="22.5" customHeight="1">
      <c r="A17" s="5" t="s">
        <v>33</v>
      </c>
      <c r="B17" s="6" t="s">
        <v>6</v>
      </c>
      <c r="C17" s="7" t="b">
        <v>1</v>
      </c>
      <c r="D17" s="6" t="s">
        <v>34</v>
      </c>
      <c r="E17" s="6" t="s">
        <v>16</v>
      </c>
    </row>
    <row r="18" ht="22.5" customHeight="1">
      <c r="A18" s="5" t="s">
        <v>35</v>
      </c>
      <c r="B18" s="6" t="s">
        <v>27</v>
      </c>
      <c r="C18" s="7" t="b">
        <v>0</v>
      </c>
      <c r="D18" s="6" t="s">
        <v>34</v>
      </c>
      <c r="E18" s="6" t="s">
        <v>16</v>
      </c>
    </row>
    <row r="19" ht="22.5" customHeight="1">
      <c r="A19" s="5" t="s">
        <v>36</v>
      </c>
      <c r="B19" s="6" t="s">
        <v>6</v>
      </c>
      <c r="C19" s="7" t="b">
        <v>1</v>
      </c>
      <c r="D19" s="6" t="s">
        <v>30</v>
      </c>
      <c r="E19" s="6" t="s">
        <v>16</v>
      </c>
    </row>
    <row r="20" ht="22.5" customHeight="1">
      <c r="A20" s="5" t="s">
        <v>37</v>
      </c>
      <c r="B20" s="6" t="s">
        <v>6</v>
      </c>
      <c r="C20" s="7" t="b">
        <v>1</v>
      </c>
      <c r="D20" s="6" t="s">
        <v>7</v>
      </c>
      <c r="E20" s="6" t="s">
        <v>16</v>
      </c>
    </row>
    <row r="21" ht="22.5" customHeight="1">
      <c r="A21" s="5" t="s">
        <v>38</v>
      </c>
      <c r="B21" s="6" t="s">
        <v>6</v>
      </c>
      <c r="C21" s="7" t="b">
        <v>1</v>
      </c>
      <c r="D21" s="6" t="s">
        <v>34</v>
      </c>
      <c r="E21" s="6" t="s">
        <v>16</v>
      </c>
    </row>
    <row r="22" ht="22.5" customHeight="1">
      <c r="A22" s="5" t="s">
        <v>39</v>
      </c>
      <c r="B22" s="6" t="s">
        <v>6</v>
      </c>
      <c r="C22" s="7" t="b">
        <v>1</v>
      </c>
      <c r="D22" s="6" t="s">
        <v>34</v>
      </c>
      <c r="E22" s="6" t="s">
        <v>14</v>
      </c>
    </row>
    <row r="23" ht="22.5" customHeight="1">
      <c r="A23" s="5" t="s">
        <v>40</v>
      </c>
      <c r="B23" s="6" t="s">
        <v>6</v>
      </c>
      <c r="C23" s="7" t="b">
        <v>1</v>
      </c>
      <c r="D23" s="6" t="s">
        <v>30</v>
      </c>
      <c r="E23" s="6" t="s">
        <v>14</v>
      </c>
    </row>
    <row r="24" ht="22.5" customHeight="1">
      <c r="A24" s="5" t="s">
        <v>41</v>
      </c>
      <c r="B24" s="6" t="s">
        <v>6</v>
      </c>
      <c r="C24" s="7" t="b">
        <v>1</v>
      </c>
      <c r="D24" s="6" t="s">
        <v>30</v>
      </c>
      <c r="E24" s="6" t="s">
        <v>14</v>
      </c>
    </row>
    <row r="25" ht="22.5" customHeight="1">
      <c r="A25" s="5" t="s">
        <v>42</v>
      </c>
      <c r="B25" s="6" t="s">
        <v>27</v>
      </c>
      <c r="C25" s="7" t="b">
        <v>0</v>
      </c>
      <c r="D25" s="6" t="s">
        <v>30</v>
      </c>
      <c r="E25" s="6" t="s">
        <v>14</v>
      </c>
    </row>
    <row r="26" ht="22.5" customHeight="1">
      <c r="A26" s="5" t="s">
        <v>43</v>
      </c>
      <c r="B26" s="6" t="s">
        <v>25</v>
      </c>
      <c r="C26" s="7" t="b">
        <v>0</v>
      </c>
      <c r="D26" s="6" t="s">
        <v>30</v>
      </c>
      <c r="E26" s="6" t="s">
        <v>14</v>
      </c>
    </row>
    <row r="27" ht="22.5" customHeight="1">
      <c r="A27" s="5" t="s">
        <v>44</v>
      </c>
      <c r="B27" s="6" t="s">
        <v>6</v>
      </c>
      <c r="C27" s="7" t="b">
        <v>1</v>
      </c>
      <c r="D27" s="6" t="s">
        <v>30</v>
      </c>
      <c r="E27" s="6" t="s">
        <v>14</v>
      </c>
    </row>
    <row r="28" ht="22.5" customHeight="1">
      <c r="A28" s="5" t="s">
        <v>45</v>
      </c>
      <c r="B28" s="6" t="s">
        <v>6</v>
      </c>
      <c r="C28" s="7" t="b">
        <v>1</v>
      </c>
      <c r="D28" s="6" t="s">
        <v>7</v>
      </c>
      <c r="E28" s="6" t="s">
        <v>14</v>
      </c>
    </row>
    <row r="29" ht="22.5" customHeight="1">
      <c r="A29" s="5" t="s">
        <v>46</v>
      </c>
      <c r="B29" s="6" t="s">
        <v>6</v>
      </c>
      <c r="C29" s="7" t="b">
        <v>1</v>
      </c>
      <c r="D29" s="6" t="s">
        <v>7</v>
      </c>
      <c r="E29" s="6" t="s">
        <v>14</v>
      </c>
    </row>
    <row r="30" ht="22.5" customHeight="1">
      <c r="A30" s="5" t="s">
        <v>47</v>
      </c>
      <c r="B30" s="6" t="s">
        <v>6</v>
      </c>
      <c r="C30" s="7" t="b">
        <v>1</v>
      </c>
      <c r="D30" s="6" t="s">
        <v>7</v>
      </c>
      <c r="E30" s="6" t="s">
        <v>14</v>
      </c>
    </row>
  </sheetData>
  <dataValidations>
    <dataValidation type="list" allowBlank="1" sqref="B2:B30">
      <formula1>"Not started,In progress,Blocked,Completed"</formula1>
    </dataValidation>
    <dataValidation type="list" allowBlank="1" sqref="D2:D30">
      <formula1>"Milestone 1,Milestone 2,Final Due Date"</formula1>
    </dataValidation>
    <dataValidation type="list" allowBlank="1" sqref="E2:E30">
      <formula1>"Basic,Intermediate,Advanced"</formula1>
    </dataValidation>
    <dataValidation allowBlank="1" showDropDown="1" sqref="A2:A30"/>
  </dataValidations>
  <drawing r:id="rId1"/>
  <tableParts count="1">
    <tablePart r:id="rId3"/>
  </tableParts>
</worksheet>
</file>